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precarga\"/>
    </mc:Choice>
  </mc:AlternateContent>
  <xr:revisionPtr revIDLastSave="0" documentId="13_ncr:1_{81AE3349-7CB2-474C-A5C3-8D4720C441CE}" xr6:coauthVersionLast="47" xr6:coauthVersionMax="47" xr10:uidLastSave="{00000000-0000-0000-0000-000000000000}"/>
  <bookViews>
    <workbookView xWindow="-120" yWindow="-120" windowWidth="29040" windowHeight="15840" tabRatio="753" xr2:uid="{00000000-000D-0000-FFFF-FFFF00000000}"/>
  </bookViews>
  <sheets>
    <sheet name="SUGERIDO" sheetId="1" r:id="rId1"/>
    <sheet name="FONDOS" sheetId="2" r:id="rId2"/>
  </sheets>
  <externalReferences>
    <externalReference r:id="rId3"/>
    <externalReference r:id="rId4"/>
  </externalReferences>
  <calcPr calcId="181029"/>
</workbook>
</file>

<file path=xl/calcChain.xml><?xml version="1.0" encoding="utf-8"?>
<calcChain xmlns="http://schemas.openxmlformats.org/spreadsheetml/2006/main">
  <c r="A6" i="1" l="1"/>
  <c r="B43" i="2"/>
  <c r="B42" i="2"/>
  <c r="B41" i="2"/>
  <c r="B40" i="2"/>
  <c r="B39" i="2"/>
  <c r="B38" i="2"/>
  <c r="B37" i="2"/>
  <c r="B36" i="2"/>
  <c r="H14" i="2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Personal</author>
    <author>CAPTURISTA 1</author>
  </authors>
  <commentList>
    <comment ref="J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numero de la solicitud</t>
        </r>
      </text>
    </comment>
    <comment ref="J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nombre de la compañia</t>
        </r>
      </text>
    </comment>
    <comment ref="A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MISMA FECHA DEL FOLIO</t>
        </r>
      </text>
    </comment>
    <comment ref="A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-COMPAÑÍA
-PEMEX
-COMODATARIO</t>
        </r>
      </text>
    </comment>
    <comment ref="E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NOMBRE DE LA COMPAÑÍA O DEPARTAMENTO</t>
        </r>
      </text>
    </comment>
    <comment ref="I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DATOS NO NECESARIOS</t>
        </r>
      </text>
    </comment>
    <comment ref="K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DATOS NO NECESARIOS</t>
        </r>
      </text>
    </comment>
    <comment ref="H11" authorId="1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NO CAMBIAR ESTE DATO</t>
        </r>
      </text>
    </comment>
    <comment ref="I11" authorId="1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NO CAMBIAR ESTE DATO</t>
        </r>
      </text>
    </comment>
    <comment ref="J11" authorId="1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NO CAMBIAR ESTE DATO</t>
        </r>
      </text>
    </comment>
  </commentList>
</comments>
</file>

<file path=xl/sharedStrings.xml><?xml version="1.0" encoding="utf-8"?>
<sst xmlns="http://schemas.openxmlformats.org/spreadsheetml/2006/main" count="159" uniqueCount="154">
  <si>
    <t>PETROLEOS MEXICANOS</t>
  </si>
  <si>
    <t>SUBDIRECCIÓN DE MANTENIMIENTO Y LOGÍSTICA</t>
  </si>
  <si>
    <t>GERENCIA DE LOGÍSTICA MARINA</t>
  </si>
  <si>
    <t>COORDINACIÓN DE ALIMENTACIÓN-HOSPEDAJE Y TRANSPORTE DE PERSONAL</t>
  </si>
  <si>
    <t>Fecha de Solicitud:</t>
  </si>
  <si>
    <t>Área Autorizadora:</t>
  </si>
  <si>
    <t>Área Solicitante:</t>
  </si>
  <si>
    <t>Tipo Solicitud Integral:</t>
  </si>
  <si>
    <t>Estatus:</t>
  </si>
  <si>
    <t>COORDINACION DE SERVICIOS MARINOS Y DE MANTENIMIENTO,CONFIABILIDAD Y CONSTRUCCION DE INFRAESTRUCTURA</t>
  </si>
  <si>
    <t>HOSPEDAJE</t>
  </si>
  <si>
    <t>CONFIRMADO</t>
  </si>
  <si>
    <t>Tipo de Personal:</t>
  </si>
  <si>
    <t>Compañía:</t>
  </si>
  <si>
    <t>No. Contrato SAP:</t>
  </si>
  <si>
    <t>Transporte:</t>
  </si>
  <si>
    <t>Itinerario Ida:</t>
  </si>
  <si>
    <t>Fec/Hora Itinerario:</t>
  </si>
  <si>
    <t>COMPAÑIA</t>
  </si>
  <si>
    <t>MARITIMO</t>
  </si>
  <si>
    <t>PROG.PRESUP</t>
  </si>
  <si>
    <t>ELEMENTO PEP</t>
  </si>
  <si>
    <t>FONDO</t>
  </si>
  <si>
    <t>POSICION FINANCIERA</t>
  </si>
  <si>
    <t xml:space="preserve">CENTRO GESTOR </t>
  </si>
  <si>
    <t>CUENTA CONTABLE</t>
  </si>
  <si>
    <t>PEF</t>
  </si>
  <si>
    <t>325541200</t>
  </si>
  <si>
    <t>37010046</t>
  </si>
  <si>
    <t>62070267</t>
  </si>
  <si>
    <t>PEGAR LA VIGENCIA DE LIBRETA AQUÍ</t>
  </si>
  <si>
    <t>No.</t>
  </si>
  <si>
    <t>FICHA/RFC</t>
  </si>
  <si>
    <t>NOMBRE</t>
  </si>
  <si>
    <t>LIBRETA DE MAR</t>
  </si>
  <si>
    <t>VIGENCIA</t>
  </si>
  <si>
    <t>FECHA DE LLEGADA</t>
  </si>
  <si>
    <t>FECHA DE SALIDA</t>
  </si>
  <si>
    <t>No. DE DIAS</t>
  </si>
  <si>
    <t>CME-22072024-0132</t>
  </si>
  <si>
    <t>PROGRAMA PRESUPUESTARIO</t>
  </si>
  <si>
    <t>CENTRO GESTOR/COSTO</t>
  </si>
  <si>
    <t>CUENTA MAYOR</t>
  </si>
  <si>
    <t>C00D0000CR1S0100</t>
  </si>
  <si>
    <t>EC00D00S01CR100</t>
  </si>
  <si>
    <t>C00D0001FR9S0100</t>
  </si>
  <si>
    <t>EC00D00S01FR900</t>
  </si>
  <si>
    <t>C00M0000BCAVA100</t>
  </si>
  <si>
    <t>EC00M00VA1BCA00</t>
  </si>
  <si>
    <t>EC00M00VA1BQ000</t>
  </si>
  <si>
    <t>C00M0000BQ7VA100</t>
  </si>
  <si>
    <t>EC00M00VA1BQ700</t>
  </si>
  <si>
    <t>C00M0000BQFVA100</t>
  </si>
  <si>
    <t>EC00M00VA1BQF00</t>
  </si>
  <si>
    <t>C00M0000BQFVA103</t>
  </si>
  <si>
    <t>EC00M00VA1BQF03</t>
  </si>
  <si>
    <t>C00M0000BQQVA100</t>
  </si>
  <si>
    <t>EC00M00VA1BQQ00</t>
  </si>
  <si>
    <t>C03M0000BQFVB203</t>
  </si>
  <si>
    <t>EC03M00VB2BQF03</t>
  </si>
  <si>
    <t>C06M0000BQ1VA500</t>
  </si>
  <si>
    <t>EC06M00VA5BQ100</t>
  </si>
  <si>
    <t>C06M0000BQFVA500</t>
  </si>
  <si>
    <t>EC06M00VA5BQF00</t>
  </si>
  <si>
    <t>C06M0000BQFVA506</t>
  </si>
  <si>
    <t>EC06M00VA5BQF06</t>
  </si>
  <si>
    <t>MEPH70082600000</t>
  </si>
  <si>
    <t>HECTOR GUADALUPE MENDEZ PEREZ</t>
  </si>
  <si>
    <t>31/12/2030 12:00:00 a.m.</t>
  </si>
  <si>
    <t>C0BM0000BQFVB302</t>
  </si>
  <si>
    <t>EC0BM00VB3BQF02</t>
  </si>
  <si>
    <t>C0DD0000CQ4VB400</t>
  </si>
  <si>
    <t>EC0DD00VB4CQ400</t>
  </si>
  <si>
    <t>C0DD0000CR1VB402</t>
  </si>
  <si>
    <t>EC0DD00VB4CR102</t>
  </si>
  <si>
    <t>C0DM0000BQ0VB400</t>
  </si>
  <si>
    <t>EC0DM00VB4BQ000</t>
  </si>
  <si>
    <t>ROXANA ELIDE REYES CANO</t>
  </si>
  <si>
    <t>C0DM0000BQ1VB400</t>
  </si>
  <si>
    <t>EC0DM00VB4BQ100</t>
  </si>
  <si>
    <t>C0EM0000BQFVAB05</t>
  </si>
  <si>
    <t>EC0EM00VABBQF05</t>
  </si>
  <si>
    <t>C0GD0000CZ2VB503</t>
  </si>
  <si>
    <t>EC0GD00VB5CZ203</t>
  </si>
  <si>
    <t>C0HM0000BQFVB602</t>
  </si>
  <si>
    <t>EC0HM00VB6BQF02</t>
  </si>
  <si>
    <t>C0KM0000BQ1VAE00</t>
  </si>
  <si>
    <t>EC0KM00VAEBQ100</t>
  </si>
  <si>
    <t>C0KM0000BQFVAE01</t>
  </si>
  <si>
    <t>EC0KM00VAEBQF01</t>
  </si>
  <si>
    <t>C0KM0000BR1VAE00</t>
  </si>
  <si>
    <t>EC0KM00VAEBR100</t>
  </si>
  <si>
    <t>C0NM0000BQ0VB800</t>
  </si>
  <si>
    <t>EC0NM00VB8BQ000</t>
  </si>
  <si>
    <t>C0NM0000BQ1VB802</t>
  </si>
  <si>
    <t>EC0NM00VB8BQ102</t>
  </si>
  <si>
    <t>C0SD0000CR1VBB02</t>
  </si>
  <si>
    <t>EC0SD00VBBCR102</t>
  </si>
  <si>
    <t>C0SM0000BZ1VBB03</t>
  </si>
  <si>
    <t>EC0SM00VBBBZ103</t>
  </si>
  <si>
    <t>C00D0000CQ4VA100</t>
  </si>
  <si>
    <t>EC00D00VA1CQ400</t>
  </si>
  <si>
    <t>C00D0000CQ4VA105</t>
  </si>
  <si>
    <t>EC00D00VA1CQ405</t>
  </si>
  <si>
    <t>C00D0000EY4VA105</t>
  </si>
  <si>
    <t>EC00D00VA1EY405</t>
  </si>
  <si>
    <t>C04M0000BQ0VA300</t>
  </si>
  <si>
    <t>EC04M00VA3BQ000</t>
  </si>
  <si>
    <t>C0DD0000EY4VB403</t>
  </si>
  <si>
    <t>EC0DD00VB4EY403</t>
  </si>
  <si>
    <t>C0GM0000BQFVB503</t>
  </si>
  <si>
    <t>EC0GM00VB5BQF03</t>
  </si>
  <si>
    <t>C0KD0000CQ3VAE00</t>
  </si>
  <si>
    <t>C0ND0000CR2VB803</t>
  </si>
  <si>
    <t>C0SM0000BR1VBB00</t>
  </si>
  <si>
    <t>C0DD0000EY4VB401</t>
  </si>
  <si>
    <t>C0KM0000BQKVAE00</t>
  </si>
  <si>
    <t>C0SD0000EY4VBB00</t>
  </si>
  <si>
    <t>C0DD0000EY4VB405</t>
  </si>
  <si>
    <t>C0KM0000BQ0VAE00</t>
  </si>
  <si>
    <t>C0KM0000BQFVAE02</t>
  </si>
  <si>
    <t>EC0KM00VAEBQF02</t>
  </si>
  <si>
    <t>C0DM0000BQ1VB401</t>
  </si>
  <si>
    <t>C0DM00VB4BQ101</t>
  </si>
  <si>
    <t>C0NM0000BQFVB802</t>
  </si>
  <si>
    <t xml:space="preserve">EC0NM00VB8BQF02 </t>
  </si>
  <si>
    <t>C0RM0000BQFVBA05</t>
  </si>
  <si>
    <t>EC0RM00VBABQF05</t>
  </si>
  <si>
    <t>C0DM0000BQ4VB415</t>
  </si>
  <si>
    <t>EC0DM00VB4BQ415</t>
  </si>
  <si>
    <t>C0HM0000BQ4VB604</t>
  </si>
  <si>
    <t>EC0HM00VB6BQ404</t>
  </si>
  <si>
    <t>C00M0000DZ5VA100</t>
  </si>
  <si>
    <t>EC00M00VA1DZ500</t>
  </si>
  <si>
    <t>C1AM0000BQ4VAH02</t>
  </si>
  <si>
    <t>EC1AM00VAHBQ402</t>
  </si>
  <si>
    <t>C0SM0000PQUVBB04</t>
  </si>
  <si>
    <t>EC0SM00VBBPQU04</t>
  </si>
  <si>
    <t>C1AM0000PQUVAH01</t>
  </si>
  <si>
    <t>EC1AM00VAHPQU01</t>
  </si>
  <si>
    <t>C1AM0000PQUVAH05</t>
  </si>
  <si>
    <t>EC1AM00VAHPQU05</t>
  </si>
  <si>
    <t>C1EM0000BQ4VAL05</t>
  </si>
  <si>
    <t>EC1EM00VALBQ405</t>
  </si>
  <si>
    <t>C0HM0000BQ7VB60L</t>
  </si>
  <si>
    <t>EC0HM00VB6BQ70L</t>
  </si>
  <si>
    <t>PEMEX</t>
  </si>
  <si>
    <t>HAGEO LEON OYOSA</t>
  </si>
  <si>
    <t xml:space="preserve">ELENA GUADALUPE BURGOS VILLALOBOS
</t>
  </si>
  <si>
    <t>ROCIOHERNANDEZ LOPEZ</t>
  </si>
  <si>
    <t>N/A</t>
  </si>
  <si>
    <t>C1EM0000BCAVAL00</t>
  </si>
  <si>
    <t>EC1EM00VALBCA00</t>
  </si>
  <si>
    <t>CME-02102025-0099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</si>
</sst>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 - &quot;00&quot; - &quot;00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14"/>
      <color theme="1"/>
      <name val="Arial"/>
      <family val="2"/>
    </font>
    <font>
      <sz val="10"/>
      <color rgb="FF000000"/>
      <name val="Segoe UI Semilight"/>
      <family val="2"/>
    </font>
    <font>
      <b/>
      <sz val="11"/>
      <color theme="1"/>
      <name val="Arial Black"/>
      <family val="2"/>
    </font>
    <font>
      <b/>
      <sz val="10"/>
      <color theme="1"/>
      <name val="Arial"/>
      <family val="2"/>
    </font>
    <font>
      <sz val="7"/>
      <color rgb="FF000000"/>
      <name val="Arial"/>
      <family val="2"/>
    </font>
    <font>
      <b/>
      <sz val="11"/>
      <color theme="1"/>
      <name val="Arial"/>
      <family val="2"/>
    </font>
    <font>
      <b/>
      <sz val="7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9"/>
      <name val="Albertus Medium"/>
      <family val="2"/>
    </font>
    <font>
      <sz val="8"/>
      <name val="Tahoma"/>
      <family val="2"/>
    </font>
    <font>
      <sz val="8"/>
      <name val="Arial Unicode MS"/>
      <family val="2"/>
    </font>
    <font>
      <sz val="8"/>
      <name val="Arial"/>
      <family val="2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15" fillId="7" borderId="5" xfId="0" applyFont="1" applyFill="1" applyBorder="1" applyAlignment="1">
      <alignment vertical="center" wrapText="1"/>
    </xf>
    <xf numFmtId="1" fontId="15" fillId="7" borderId="5" xfId="0" applyNumberFormat="1" applyFont="1" applyFill="1" applyBorder="1" applyAlignment="1">
      <alignment vertical="center" wrapText="1"/>
    </xf>
    <xf numFmtId="0" fontId="18" fillId="0" borderId="5" xfId="0" applyFont="1" applyBorder="1" applyAlignment="1">
      <alignment horizontal="left"/>
    </xf>
    <xf numFmtId="0" fontId="16" fillId="0" borderId="5" xfId="0" applyFont="1" applyBorder="1" applyAlignment="1">
      <alignment horizontal="left" vertical="center"/>
    </xf>
    <xf numFmtId="1" fontId="16" fillId="0" borderId="5" xfId="0" applyNumberFormat="1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164" fontId="18" fillId="0" borderId="5" xfId="0" applyNumberFormat="1" applyFont="1" applyBorder="1" applyAlignment="1">
      <alignment horizontal="left"/>
    </xf>
    <xf numFmtId="164" fontId="16" fillId="0" borderId="5" xfId="0" applyNumberFormat="1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6" xfId="0" applyFont="1" applyBorder="1" applyAlignment="1">
      <alignment horizontal="left"/>
    </xf>
    <xf numFmtId="0" fontId="16" fillId="5" borderId="5" xfId="0" applyFont="1" applyFill="1" applyBorder="1" applyAlignment="1">
      <alignment horizontal="left" vertical="center"/>
    </xf>
    <xf numFmtId="0" fontId="2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2" fillId="5" borderId="0" xfId="0" applyFont="1" applyFill="1" applyProtection="1">
      <protection locked="0"/>
    </xf>
    <xf numFmtId="49" fontId="2" fillId="5" borderId="0" xfId="0" applyNumberFormat="1" applyFont="1" applyFill="1" applyProtection="1">
      <protection locked="0"/>
    </xf>
    <xf numFmtId="49" fontId="2" fillId="5" borderId="0" xfId="0" applyNumberFormat="1" applyFont="1" applyFill="1" applyAlignment="1" applyProtection="1">
      <alignment horizontal="right"/>
      <protection locked="0"/>
    </xf>
    <xf numFmtId="0" fontId="8" fillId="5" borderId="0" xfId="0" applyFont="1" applyFill="1" applyProtection="1">
      <protection locked="0"/>
    </xf>
    <xf numFmtId="0" fontId="8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left" vertical="center" wrapText="1" readingOrder="1"/>
      <protection locked="0"/>
    </xf>
    <xf numFmtId="0" fontId="10" fillId="5" borderId="0" xfId="0" applyFont="1" applyFill="1" applyProtection="1">
      <protection locked="0"/>
    </xf>
    <xf numFmtId="0" fontId="10" fillId="0" borderId="0" xfId="0" applyFont="1" applyProtection="1">
      <protection locked="0"/>
    </xf>
    <xf numFmtId="0" fontId="2" fillId="2" borderId="2" xfId="0" applyFont="1" applyFill="1" applyBorder="1" applyProtection="1">
      <protection locked="0"/>
    </xf>
    <xf numFmtId="0" fontId="11" fillId="2" borderId="2" xfId="0" applyFont="1" applyFill="1" applyBorder="1" applyProtection="1">
      <protection locked="0"/>
    </xf>
    <xf numFmtId="0" fontId="11" fillId="2" borderId="2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2" borderId="0" xfId="0" applyFont="1" applyFill="1" applyProtection="1">
      <protection locked="0"/>
    </xf>
    <xf numFmtId="0" fontId="11" fillId="2" borderId="0" xfId="0" applyFont="1" applyFill="1" applyAlignment="1" applyProtection="1">
      <alignment horizontal="center"/>
      <protection locked="0"/>
    </xf>
    <xf numFmtId="0" fontId="2" fillId="5" borderId="0" xfId="0" applyFont="1" applyFill="1" applyAlignment="1" applyProtection="1">
      <alignment vertical="center"/>
      <protection locked="0"/>
    </xf>
    <xf numFmtId="0" fontId="12" fillId="5" borderId="0" xfId="0" applyFont="1" applyFill="1" applyAlignment="1" applyProtection="1">
      <alignment vertical="center"/>
      <protection locked="0"/>
    </xf>
    <xf numFmtId="14" fontId="2" fillId="4" borderId="0" xfId="0" applyNumberFormat="1" applyFont="1" applyFill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13" fillId="2" borderId="0" xfId="0" applyFont="1" applyFill="1" applyAlignment="1" applyProtection="1">
      <alignment horizontal="center"/>
      <protection locked="0"/>
    </xf>
    <xf numFmtId="0" fontId="10" fillId="2" borderId="0" xfId="0" applyFont="1" applyFill="1" applyAlignment="1" applyProtection="1">
      <alignment horizontal="center"/>
      <protection locked="0"/>
    </xf>
    <xf numFmtId="14" fontId="13" fillId="2" borderId="0" xfId="0" applyNumberFormat="1" applyFont="1" applyFill="1" applyAlignment="1" applyProtection="1">
      <alignment horizontal="center"/>
      <protection locked="0"/>
    </xf>
    <xf numFmtId="0" fontId="13" fillId="5" borderId="0" xfId="0" applyFont="1" applyFill="1" applyProtection="1">
      <protection locked="0"/>
    </xf>
    <xf numFmtId="49" fontId="13" fillId="5" borderId="0" xfId="0" applyNumberFormat="1" applyFont="1" applyFill="1" applyProtection="1">
      <protection locked="0"/>
    </xf>
    <xf numFmtId="49" fontId="13" fillId="5" borderId="0" xfId="0" applyNumberFormat="1" applyFont="1" applyFill="1" applyAlignment="1" applyProtection="1">
      <alignment horizontal="right"/>
      <protection locked="0"/>
    </xf>
    <xf numFmtId="0" fontId="2" fillId="0" borderId="3" xfId="0" applyFont="1" applyBorder="1" applyAlignment="1" applyProtection="1">
      <alignment horizontal="center"/>
      <protection locked="0"/>
    </xf>
    <xf numFmtId="49" fontId="2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horizontal="right"/>
      <protection locked="0"/>
    </xf>
    <xf numFmtId="49" fontId="14" fillId="3" borderId="4" xfId="0" applyNumberFormat="1" applyFont="1" applyFill="1" applyBorder="1" applyAlignment="1" applyProtection="1">
      <alignment horizontal="center"/>
      <protection locked="0"/>
    </xf>
    <xf numFmtId="14" fontId="2" fillId="0" borderId="0" xfId="0" applyNumberFormat="1" applyFont="1" applyProtection="1">
      <protection locked="0"/>
    </xf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0" fontId="18" fillId="0" borderId="7" xfId="0" applyFont="1" applyBorder="1" applyAlignment="1">
      <alignment horizontal="left"/>
    </xf>
    <xf numFmtId="1" fontId="16" fillId="0" borderId="7" xfId="0" applyNumberFormat="1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 applyProtection="1">
      <alignment horizontal="center"/>
      <protection locked="0"/>
    </xf>
    <xf numFmtId="49" fontId="2" fillId="8" borderId="5" xfId="0" applyNumberFormat="1" applyFont="1" applyFill="1" applyBorder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11" fillId="2" borderId="0" xfId="0" applyFont="1" applyFill="1" applyAlignment="1" applyProtection="1">
      <alignment horizontal="left"/>
      <protection locked="0"/>
    </xf>
    <xf numFmtId="0" fontId="2" fillId="4" borderId="0" xfId="0" applyFont="1" applyFill="1" applyAlignment="1" applyProtection="1">
      <alignment horizontal="left"/>
      <protection locked="0"/>
    </xf>
    <xf numFmtId="0" fontId="10" fillId="2" borderId="0" xfId="0" applyFont="1" applyFill="1" applyAlignment="1" applyProtection="1">
      <alignment horizontal="left"/>
      <protection locked="0"/>
    </xf>
    <xf numFmtId="0" fontId="2" fillId="6" borderId="0" xfId="0" applyFont="1" applyFill="1" applyAlignment="1">
      <alignment horizontal="left"/>
    </xf>
    <xf numFmtId="49" fontId="14" fillId="3" borderId="4" xfId="0" applyNumberFormat="1" applyFont="1" applyFill="1" applyBorder="1" applyAlignment="1" applyProtection="1">
      <alignment horizontal="left"/>
      <protection locked="0"/>
    </xf>
    <xf numFmtId="0" fontId="6" fillId="0" borderId="8" xfId="0" applyFont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9" fillId="0" borderId="0" xfId="0" applyFont="1" applyProtection="1">
      <protection locked="0"/>
    </xf>
    <xf numFmtId="0" fontId="19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left" wrapText="1"/>
    </xf>
  </cellXfs>
  <cellStyles count="2">
    <cellStyle name="Normal" xfId="0" builtinId="0"/>
    <cellStyle name="Normal 2" xfId="1" xr:uid="{00000000-0005-0000-0000-00000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247650</xdr:colOff>
      <xdr:row>2</xdr:row>
      <xdr:rowOff>209550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905000" cy="7524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2.50.16\plantillas%20por%20compa&#241;ias2\Users\User\Desktop\ADMINISTRADOR\GENERADOR\EST.%20AGOSTO%20UHF%20REFORMA%20PEMEX%20FORMULA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min="1" max="1" width="24.85546875" style="12" customWidth="1"/>
    <col min="2" max="2" width="6.28515625" style="12" customWidth="1"/>
    <col min="3" max="3" width="41.5703125" style="12" customWidth="1"/>
    <col min="4" max="4" width="19.85546875" style="12" customWidth="1"/>
    <col min="5" max="5" width="25" style="12" customWidth="1"/>
    <col min="6" max="6" width="45" style="12" customWidth="1"/>
    <col min="7" max="7" width="20.42578125" style="12" customWidth="1"/>
    <col min="8" max="8" width="22.85546875" style="43" bestFit="1" customWidth="1"/>
    <col min="9" max="9" width="26.42578125" style="58" customWidth="1"/>
    <col min="10" max="10" width="28.42578125" style="12" customWidth="1"/>
    <col min="11" max="11" width="16.85546875" style="12" customWidth="1"/>
    <col min="12" max="12" width="11.42578125" style="12" customWidth="1"/>
    <col min="13" max="13" width="24.42578125" style="12" customWidth="1"/>
    <col min="14" max="14" width="14.42578125" style="12" customWidth="1"/>
    <col min="15" max="15" width="14" style="12" customWidth="1"/>
    <col min="16" max="16" width="53.7109375" style="12" customWidth="1"/>
    <col min="17" max="17" width="25.85546875" style="12" customWidth="1"/>
    <col min="18" max="18" width="50.42578125" style="12" customWidth="1"/>
    <col min="19" max="19" width="23.28515625" style="12" customWidth="1"/>
    <col min="20" max="20" width="19.5703125" style="12" bestFit="1" customWidth="1"/>
    <col min="21" max="21" width="14.5703125" style="12" customWidth="1"/>
    <col min="22" max="22" width="19.140625" style="12" bestFit="1" customWidth="1"/>
    <col min="23" max="23" width="14" style="12" bestFit="1" customWidth="1"/>
    <col min="24" max="24" width="20.85546875" style="12" bestFit="1" customWidth="1"/>
    <col min="25" max="27" width="11.42578125" style="12" customWidth="1"/>
    <col min="28" max="28" width="20.5703125" style="12" customWidth="1"/>
    <col min="29" max="29" width="18.7109375" style="12" customWidth="1"/>
    <col min="30" max="43" width="11.42578125" style="12" customWidth="1"/>
    <col min="44" max="16384" width="11.42578125" style="12"/>
  </cols>
  <sheetData>
    <row r="1" spans="1:24" ht="22.5" customHeight="1">
      <c r="D1" s="66" t="s">
        <v>0</v>
      </c>
      <c r="J1" s="53" t="s">
        <v>153</v>
      </c>
      <c r="M1" s="13"/>
      <c r="N1" s="14"/>
      <c r="O1" s="14"/>
      <c r="P1" s="14"/>
      <c r="Q1" s="14"/>
      <c r="R1" s="15"/>
      <c r="S1" s="16"/>
    </row>
    <row r="2" spans="1:24" ht="20.25" customHeight="1">
      <c r="D2" s="67" t="s">
        <v>1</v>
      </c>
      <c r="J2" s="54" t="str">
        <f>E8</f>
        <v>PEMEX</v>
      </c>
      <c r="N2" s="17"/>
      <c r="O2" s="18"/>
      <c r="P2" s="14"/>
      <c r="Q2" s="14"/>
      <c r="R2" s="15"/>
      <c r="S2" s="16"/>
    </row>
    <row r="3" spans="1:24" ht="24" customHeight="1" thickBot="1">
      <c r="D3" s="68" t="s">
        <v>2</v>
      </c>
      <c r="J3" s="55"/>
      <c r="N3" s="19"/>
      <c r="O3" s="18"/>
      <c r="P3" s="14"/>
      <c r="Q3" s="14"/>
      <c r="R3" s="15"/>
      <c r="S3" s="16"/>
    </row>
    <row r="4" spans="1:24" ht="19.5" customHeight="1" thickTop="1">
      <c r="A4" s="65" t="s">
        <v>3</v>
      </c>
      <c r="N4" s="17"/>
      <c r="O4" s="17"/>
      <c r="P4" s="20"/>
      <c r="Q4" s="14"/>
      <c r="R4" s="15"/>
      <c r="S4" s="16"/>
      <c r="T4" s="21"/>
      <c r="U4" s="21"/>
      <c r="V4" s="21"/>
      <c r="W4" s="21"/>
      <c r="X4" s="21"/>
    </row>
    <row r="5" spans="1:24">
      <c r="A5" s="24" t="s">
        <v>4</v>
      </c>
      <c r="D5" s="22"/>
      <c r="E5" s="24" t="s">
        <v>5</v>
      </c>
      <c r="G5" s="23"/>
      <c r="H5" s="24" t="s">
        <v>6</v>
      </c>
      <c r="J5" s="24" t="s">
        <v>7</v>
      </c>
      <c r="K5" s="24" t="s">
        <v>8</v>
      </c>
      <c r="N5" s="17"/>
      <c r="O5" s="17"/>
      <c r="P5" s="14"/>
      <c r="Q5" s="14"/>
      <c r="R5" s="15"/>
      <c r="S5" s="16"/>
    </row>
    <row r="6" spans="1:24" ht="15" customHeight="1">
      <c r="A6" s="57">
        <f ca="1">TODAY()</f>
        <v>45933</v>
      </c>
      <c r="E6" s="56" t="s">
        <v>9</v>
      </c>
      <c r="H6" s="56" t="s">
        <v>9</v>
      </c>
      <c r="I6" s="72"/>
      <c r="J6" s="25" t="s">
        <v>10</v>
      </c>
      <c r="K6" s="25" t="s">
        <v>11</v>
      </c>
      <c r="N6" s="17"/>
      <c r="O6" s="17"/>
      <c r="P6" s="14"/>
      <c r="Q6" s="14"/>
      <c r="R6" s="15"/>
      <c r="S6" s="16"/>
    </row>
    <row r="7" spans="1:24">
      <c r="A7" s="27" t="s">
        <v>12</v>
      </c>
      <c r="D7" s="26"/>
      <c r="E7" s="27" t="s">
        <v>13</v>
      </c>
      <c r="G7" s="27" t="s">
        <v>14</v>
      </c>
      <c r="H7" s="27" t="s">
        <v>15</v>
      </c>
      <c r="I7" s="60" t="s">
        <v>16</v>
      </c>
      <c r="K7" s="27" t="s">
        <v>17</v>
      </c>
      <c r="N7" s="28"/>
      <c r="O7" s="29"/>
      <c r="P7" s="14"/>
      <c r="Q7" s="14"/>
      <c r="R7" s="15"/>
      <c r="S7" s="16"/>
    </row>
    <row r="8" spans="1:24">
      <c r="A8" s="25" t="s">
        <v>18</v>
      </c>
      <c r="E8" s="25" t="s">
        <v>146</v>
      </c>
      <c r="G8" s="25" t="s">
        <v>150</v>
      </c>
      <c r="H8" s="25" t="s">
        <v>19</v>
      </c>
      <c r="I8" s="61"/>
      <c r="K8" s="30"/>
      <c r="N8" s="28"/>
      <c r="O8" s="28"/>
      <c r="P8" s="14"/>
      <c r="Q8" s="14"/>
      <c r="R8" s="15"/>
      <c r="S8" s="16"/>
    </row>
    <row r="9" spans="1:24">
      <c r="A9" s="25"/>
      <c r="B9" s="25"/>
      <c r="C9" s="25"/>
      <c r="E9" s="25"/>
      <c r="F9" s="25"/>
      <c r="G9" s="25"/>
      <c r="H9" s="25"/>
      <c r="J9" s="25"/>
      <c r="K9" s="31"/>
      <c r="N9" s="14"/>
      <c r="O9" s="14"/>
      <c r="P9" s="14"/>
      <c r="Q9" s="14"/>
      <c r="R9" s="15"/>
      <c r="S9" s="16"/>
      <c r="V9" s="32"/>
      <c r="W9" s="32"/>
      <c r="X9" s="32"/>
    </row>
    <row r="10" spans="1:24" s="32" customFormat="1">
      <c r="A10" s="34" t="s">
        <v>20</v>
      </c>
      <c r="D10" s="33"/>
      <c r="E10" s="33"/>
      <c r="F10" s="34" t="s">
        <v>21</v>
      </c>
      <c r="G10" s="34" t="s">
        <v>22</v>
      </c>
      <c r="H10" s="34" t="s">
        <v>23</v>
      </c>
      <c r="I10" s="62" t="s">
        <v>24</v>
      </c>
      <c r="J10" s="34" t="s">
        <v>25</v>
      </c>
      <c r="K10" s="35"/>
      <c r="N10" s="36"/>
      <c r="O10" s="36"/>
      <c r="P10" s="36"/>
      <c r="Q10" s="36"/>
      <c r="R10" s="37"/>
      <c r="S10" s="38"/>
      <c r="V10" s="12"/>
      <c r="W10" s="12"/>
      <c r="X10" s="12"/>
    </row>
    <row r="11" spans="1:24">
      <c r="A11" s="51" t="s">
        <v>151</v>
      </c>
      <c r="E11" s="25"/>
      <c r="F11" s="44" t="s">
        <v>152</v>
      </c>
      <c r="G11" s="25" t="s">
        <v>26</v>
      </c>
      <c r="H11" s="45" t="s">
        <v>27</v>
      </c>
      <c r="I11" s="63" t="s">
        <v>28</v>
      </c>
      <c r="J11" s="45" t="s">
        <v>29</v>
      </c>
      <c r="K11" s="31"/>
      <c r="N11" s="14"/>
      <c r="O11" s="14"/>
      <c r="P11" s="14"/>
      <c r="Q11" s="14"/>
      <c r="R11" s="15"/>
      <c r="S11" s="16"/>
    </row>
    <row r="12" spans="1:24">
      <c r="A12" s="25"/>
      <c r="B12" s="25"/>
      <c r="C12" s="25"/>
      <c r="E12" s="25"/>
      <c r="F12" s="25"/>
      <c r="G12" s="25"/>
      <c r="H12" s="25"/>
      <c r="J12" s="25"/>
      <c r="K12" s="31"/>
      <c r="N12" s="14"/>
      <c r="O12" s="14"/>
      <c r="P12" s="14"/>
      <c r="Q12" s="14"/>
      <c r="R12" s="15"/>
      <c r="S12" s="16"/>
    </row>
    <row r="13" spans="1:24" ht="15.75" customHeight="1" thickBot="1">
      <c r="A13" s="25"/>
      <c r="B13" s="25"/>
      <c r="C13" s="25"/>
      <c r="E13" s="39"/>
      <c r="F13" s="39"/>
      <c r="G13" s="25"/>
      <c r="H13" s="25"/>
      <c r="J13" s="25"/>
      <c r="K13" s="31"/>
      <c r="M13" s="52" t="s">
        <v>30</v>
      </c>
      <c r="R13" s="40"/>
      <c r="S13" s="41"/>
    </row>
    <row r="14" spans="1:24">
      <c r="A14" s="42" t="s">
        <v>31</v>
      </c>
      <c r="C14" s="42" t="s">
        <v>32</v>
      </c>
      <c r="D14" s="42" t="s">
        <v>33</v>
      </c>
      <c r="G14" s="42" t="s">
        <v>34</v>
      </c>
      <c r="H14" s="42" t="s">
        <v>35</v>
      </c>
      <c r="I14" s="64" t="s">
        <v>36</v>
      </c>
      <c r="J14" s="42" t="s">
        <v>37</v>
      </c>
      <c r="K14" s="42" t="s">
        <v>38</v>
      </c>
      <c r="L14" s="40"/>
      <c r="N14" s="40"/>
      <c r="O14" s="40"/>
      <c r="P14" s="40"/>
      <c r="Q14" s="40"/>
      <c r="R14" s="40"/>
    </row>
    <row r="15" spans="1:24" ht="16.5" customHeight="1">
      <c r="A15">
        <v>1</v>
      </c>
      <c r="C15" s="58">
        <v>533371</v>
      </c>
      <c r="D15" t="s">
        <v>147</v>
      </c>
      <c r="G15">
        <v>0</v>
      </c>
      <c r="H15" s="50"/>
      <c r="I15" s="50">
        <v>45933</v>
      </c>
      <c r="J15" s="50">
        <v>45944</v>
      </c>
      <c r="K15">
        <v>11</v>
      </c>
    </row>
    <row r="16" spans="1:24">
      <c r="C16" s="58"/>
      <c r="D16" s="71"/>
    </row>
    <row r="17" spans="3:9">
      <c r="C17" s="70"/>
      <c r="I17" s="59"/>
    </row>
    <row r="18" spans="3:9">
      <c r="C18" s="59"/>
      <c r="I18" s="59"/>
    </row>
    <row r="19" spans="3:9" ht="45">
      <c r="C19" s="73" t="s">
        <v>149</v>
      </c>
      <c r="D19" s="69"/>
      <c r="I19" s="73" t="s">
        <v>148</v>
      </c>
    </row>
    <row r="20" spans="3:9">
      <c r="C20" s="59">
        <v>508939</v>
      </c>
      <c r="I20" s="59">
        <v>367339</v>
      </c>
    </row>
    <row r="21" spans="3:9">
      <c r="C21" s="59"/>
      <c r="I21" s="59"/>
    </row>
    <row r="22" spans="3:9">
      <c r="C22" s="59"/>
      <c r="I22" s="59"/>
    </row>
    <row r="23" spans="3:9">
      <c r="C23" s="59"/>
      <c r="I23" s="59"/>
    </row>
    <row r="24" spans="3:9">
      <c r="C24" s="70"/>
      <c r="I24" s="59"/>
    </row>
    <row r="25" spans="3:9">
      <c r="C25" s="59"/>
      <c r="I25" s="59"/>
    </row>
    <row r="26" spans="3:9">
      <c r="C26" s="59"/>
      <c r="I26" s="59"/>
    </row>
    <row r="27" spans="3:9">
      <c r="C27" s="59"/>
      <c r="I27" s="59"/>
    </row>
    <row r="28" spans="3:9">
      <c r="C28" s="59"/>
      <c r="I28" s="59"/>
    </row>
    <row r="29" spans="3:9">
      <c r="C29" s="59"/>
      <c r="I29" s="59"/>
    </row>
    <row r="30" spans="3:9">
      <c r="C30" s="59"/>
      <c r="I30" s="59"/>
    </row>
    <row r="31" spans="3:9">
      <c r="C31" s="59"/>
      <c r="I31" s="59"/>
    </row>
    <row r="32" spans="3:9">
      <c r="C32" s="59"/>
      <c r="I32" s="59"/>
    </row>
    <row r="33" spans="3:9">
      <c r="C33" s="59"/>
      <c r="I33" s="59"/>
    </row>
    <row r="34" spans="3:9">
      <c r="C34" s="59"/>
      <c r="I34" s="59"/>
    </row>
    <row r="35" spans="3:9">
      <c r="C35" s="59"/>
      <c r="I35" s="59"/>
    </row>
    <row r="36" spans="3:9">
      <c r="C36" s="59"/>
      <c r="I36" s="59"/>
    </row>
    <row r="37" spans="3:9">
      <c r="C37" s="59"/>
      <c r="I37" s="59"/>
    </row>
    <row r="38" spans="3:9">
      <c r="C38" s="59"/>
      <c r="I38" s="59"/>
    </row>
    <row r="39" spans="3:9">
      <c r="C39" s="59"/>
      <c r="I39" s="59"/>
    </row>
    <row r="40" spans="3:9">
      <c r="C40" s="59"/>
      <c r="I40" s="59"/>
    </row>
    <row r="41" spans="3:9">
      <c r="C41" s="59"/>
      <c r="I41" s="59"/>
    </row>
    <row r="42" spans="3:9">
      <c r="C42" s="59"/>
      <c r="I42" s="59"/>
    </row>
    <row r="43" spans="3:9">
      <c r="C43" s="59"/>
      <c r="I43" s="59"/>
    </row>
    <row r="44" spans="3:9">
      <c r="C44" s="59"/>
      <c r="I44" s="59"/>
    </row>
    <row r="45" spans="3:9">
      <c r="C45" s="59"/>
      <c r="I45" s="59"/>
    </row>
    <row r="46" spans="3:9">
      <c r="C46" s="59"/>
      <c r="I46" s="59"/>
    </row>
    <row r="47" spans="3:9">
      <c r="C47" s="59"/>
      <c r="I47" s="59"/>
    </row>
    <row r="48" spans="3:9">
      <c r="C48" s="59"/>
      <c r="I48" s="59"/>
    </row>
    <row r="49" spans="3:9">
      <c r="C49" s="59"/>
      <c r="I49" s="59"/>
    </row>
    <row r="50" spans="3:9">
      <c r="C50" s="59"/>
      <c r="I50" s="59"/>
    </row>
    <row r="51" spans="3:9">
      <c r="C51" s="59"/>
      <c r="I51" s="59"/>
    </row>
    <row r="52" spans="3:9">
      <c r="C52" s="59"/>
      <c r="I52" s="59"/>
    </row>
    <row r="53" spans="3:9">
      <c r="C53" s="59"/>
      <c r="I53" s="59"/>
    </row>
    <row r="54" spans="3:9">
      <c r="C54" s="59"/>
      <c r="I54" s="59"/>
    </row>
    <row r="55" spans="3:9">
      <c r="C55" s="59"/>
      <c r="I55" s="59"/>
    </row>
    <row r="56" spans="3:9">
      <c r="C56" s="59"/>
      <c r="I56" s="59"/>
    </row>
    <row r="57" spans="3:9">
      <c r="C57" s="59"/>
      <c r="I57" s="59"/>
    </row>
    <row r="58" spans="3:9">
      <c r="C58" s="58"/>
    </row>
    <row r="258" spans="4:4">
      <c r="D258" s="32"/>
    </row>
  </sheetData>
  <conditionalFormatting sqref="F11">
    <cfRule type="containsText" dxfId="8" priority="18" operator="containsText" text="NO EXISTE ESTE PROGRAMA">
      <formula>NOT(ISERROR(SEARCH("NO EXISTE ESTE PROGRAMA",F11)))</formula>
    </cfRule>
  </conditionalFormatting>
  <conditionalFormatting sqref="K15">
    <cfRule type="cellIs" dxfId="7" priority="82" operator="equal">
      <formula>0</formula>
    </cfRule>
  </conditionalFormatting>
  <dataValidations count="2">
    <dataValidation type="list" allowBlank="1" showInputMessage="1" showErrorMessage="1" promptTitle="TIPO DE PERSONAL" sqref="A8:C8" xr:uid="{00000000-0002-0000-0000-000000000000}">
      <formula1>$I$255:$I$257</formula1>
    </dataValidation>
    <dataValidation type="list" allowBlank="1" showInputMessage="1" showErrorMessage="1" promptTitle="TRANSPORTE" prompt="ELIGE EL TIPO DE TRANSPORTE" sqref="H8" xr:uid="{00000000-0002-0000-0000-000001000000}">
      <formula1>$I$259:$I$260</formula1>
    </dataValidation>
  </dataValidations>
  <pageMargins left="0.70866141732283472" right="0.70866141732283472" top="0.74803149606299213" bottom="0.74803149606299213" header="0.31496062992125978" footer="0.31496062992125978"/>
  <pageSetup scale="1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min="1" max="1" width="20.7109375" customWidth="1"/>
    <col min="2" max="2" width="18.85546875" customWidth="1"/>
    <col min="3" max="3" width="17.7109375" customWidth="1"/>
    <col min="4" max="4" width="14" customWidth="1"/>
    <col min="5" max="5" width="10.5703125" customWidth="1"/>
  </cols>
  <sheetData>
    <row r="1" spans="1:13">
      <c r="J1" t="s">
        <v>39</v>
      </c>
    </row>
    <row r="2" spans="1:13" ht="24" customHeight="1">
      <c r="A2" s="1" t="s">
        <v>40</v>
      </c>
      <c r="B2" s="1" t="s">
        <v>21</v>
      </c>
      <c r="C2" s="2" t="s">
        <v>41</v>
      </c>
      <c r="D2" s="2" t="s">
        <v>23</v>
      </c>
      <c r="E2" s="2" t="s">
        <v>42</v>
      </c>
    </row>
    <row r="3" spans="1:13">
      <c r="A3" s="3" t="s">
        <v>43</v>
      </c>
      <c r="B3" s="4" t="s">
        <v>44</v>
      </c>
      <c r="C3" s="5">
        <v>41010098</v>
      </c>
      <c r="D3" s="6">
        <v>325541200</v>
      </c>
      <c r="E3" s="6">
        <v>62070267</v>
      </c>
    </row>
    <row r="4" spans="1:13">
      <c r="A4" s="4" t="s">
        <v>45</v>
      </c>
      <c r="B4" s="4" t="s">
        <v>46</v>
      </c>
      <c r="C4" s="5">
        <v>41010098</v>
      </c>
      <c r="D4" s="6">
        <v>325541200</v>
      </c>
      <c r="E4" s="6">
        <v>62070267</v>
      </c>
    </row>
    <row r="5" spans="1:13">
      <c r="A5" s="7" t="s">
        <v>47</v>
      </c>
      <c r="B5" s="4" t="s">
        <v>48</v>
      </c>
      <c r="C5" s="5">
        <v>41010098</v>
      </c>
      <c r="D5" s="6">
        <v>325541200</v>
      </c>
      <c r="E5" s="6">
        <v>62070267</v>
      </c>
    </row>
    <row r="6" spans="1:13">
      <c r="A6" s="8">
        <v>45495</v>
      </c>
      <c r="B6" s="4" t="s">
        <v>49</v>
      </c>
      <c r="C6" s="5">
        <v>41010098</v>
      </c>
      <c r="D6" s="6">
        <v>325541200</v>
      </c>
      <c r="E6" s="6">
        <v>62070267</v>
      </c>
    </row>
    <row r="7" spans="1:13">
      <c r="A7" s="9" t="s">
        <v>50</v>
      </c>
      <c r="B7" s="4" t="s">
        <v>51</v>
      </c>
      <c r="C7" s="5">
        <v>41010098</v>
      </c>
      <c r="D7" s="6">
        <v>325541200</v>
      </c>
      <c r="E7" s="6">
        <v>62070267</v>
      </c>
    </row>
    <row r="8" spans="1:13">
      <c r="A8" s="3" t="s">
        <v>52</v>
      </c>
      <c r="B8" s="4" t="s">
        <v>53</v>
      </c>
      <c r="C8" s="5">
        <v>41010098</v>
      </c>
      <c r="D8" s="6">
        <v>325541200</v>
      </c>
      <c r="E8" s="6">
        <v>62070267</v>
      </c>
    </row>
    <row r="9" spans="1:13">
      <c r="A9" s="3" t="s">
        <v>54</v>
      </c>
      <c r="B9" s="4" t="s">
        <v>55</v>
      </c>
      <c r="C9" s="5">
        <v>41010098</v>
      </c>
      <c r="D9" s="6">
        <v>325541200</v>
      </c>
      <c r="E9" s="6">
        <v>62070267</v>
      </c>
    </row>
    <row r="10" spans="1:13">
      <c r="A10" s="3" t="s">
        <v>56</v>
      </c>
      <c r="B10" s="4" t="s">
        <v>57</v>
      </c>
      <c r="C10" s="5">
        <v>41010098</v>
      </c>
      <c r="D10" s="6">
        <v>325541200</v>
      </c>
      <c r="E10" s="6">
        <v>62070267</v>
      </c>
    </row>
    <row r="11" spans="1:13">
      <c r="A11" s="3" t="s">
        <v>58</v>
      </c>
      <c r="B11" s="4" t="s">
        <v>59</v>
      </c>
      <c r="C11" s="5">
        <v>41010098</v>
      </c>
      <c r="D11" s="6">
        <v>325541200</v>
      </c>
      <c r="E11" s="6">
        <v>62070267</v>
      </c>
    </row>
    <row r="12" spans="1:13">
      <c r="A12" s="4" t="s">
        <v>60</v>
      </c>
      <c r="B12" s="4" t="s">
        <v>61</v>
      </c>
      <c r="C12" s="5">
        <v>41010098</v>
      </c>
      <c r="D12" s="6">
        <v>325541200</v>
      </c>
      <c r="E12" s="6">
        <v>62070267</v>
      </c>
    </row>
    <row r="13" spans="1:13">
      <c r="A13" s="3" t="s">
        <v>62</v>
      </c>
      <c r="B13" s="4" t="s">
        <v>63</v>
      </c>
      <c r="C13" s="5">
        <v>41010098</v>
      </c>
      <c r="D13" s="6">
        <v>325541200</v>
      </c>
      <c r="E13" s="6">
        <v>62070267</v>
      </c>
    </row>
    <row r="14" spans="1:13" ht="45" customHeight="1">
      <c r="A14" s="3" t="s">
        <v>64</v>
      </c>
      <c r="B14" s="4" t="s">
        <v>65</v>
      </c>
      <c r="C14" s="5" t="s">
        <v>66</v>
      </c>
      <c r="D14" s="6" t="s">
        <v>67</v>
      </c>
      <c r="E14" s="6">
        <v>62070267</v>
      </c>
      <c r="H14" s="50" t="str">
        <f>MID(M14,1,10)</f>
        <v>31/12/2030</v>
      </c>
      <c r="I14" s="50">
        <v>45495</v>
      </c>
      <c r="J14" s="50">
        <v>45509</v>
      </c>
      <c r="M14" s="49" t="s">
        <v>68</v>
      </c>
    </row>
    <row r="15" spans="1:13">
      <c r="A15" s="4" t="s">
        <v>69</v>
      </c>
      <c r="B15" s="4" t="s">
        <v>70</v>
      </c>
      <c r="C15" s="5">
        <v>41010098</v>
      </c>
      <c r="D15" s="6">
        <v>325541200</v>
      </c>
      <c r="E15" s="6">
        <v>62070267</v>
      </c>
    </row>
    <row r="16" spans="1:13">
      <c r="A16" s="3" t="s">
        <v>71</v>
      </c>
      <c r="B16" s="4" t="s">
        <v>72</v>
      </c>
      <c r="C16" s="5">
        <v>41010098</v>
      </c>
      <c r="D16" s="6">
        <v>325541200</v>
      </c>
      <c r="E16" s="6">
        <v>62070267</v>
      </c>
    </row>
    <row r="17" spans="1:9">
      <c r="A17" s="4" t="s">
        <v>73</v>
      </c>
      <c r="B17" s="4" t="s">
        <v>74</v>
      </c>
      <c r="C17" s="5">
        <v>41010098</v>
      </c>
      <c r="D17" s="6">
        <v>325541200</v>
      </c>
      <c r="E17" s="6">
        <v>62070267</v>
      </c>
    </row>
    <row r="18" spans="1:9">
      <c r="A18" s="3" t="s">
        <v>75</v>
      </c>
      <c r="B18" s="4" t="s">
        <v>76</v>
      </c>
      <c r="C18" s="5">
        <v>41010098</v>
      </c>
      <c r="D18" s="6">
        <v>325541200</v>
      </c>
      <c r="E18" s="6">
        <v>62070267</v>
      </c>
      <c r="I18" t="s">
        <v>77</v>
      </c>
    </row>
    <row r="19" spans="1:9">
      <c r="A19" s="3" t="s">
        <v>78</v>
      </c>
      <c r="B19" s="4" t="s">
        <v>79</v>
      </c>
      <c r="C19" s="5">
        <v>41010098</v>
      </c>
      <c r="D19" s="6">
        <v>325541200</v>
      </c>
      <c r="E19" s="6">
        <v>62070267</v>
      </c>
      <c r="I19">
        <v>363462</v>
      </c>
    </row>
    <row r="20" spans="1:9">
      <c r="A20" s="7" t="s">
        <v>80</v>
      </c>
      <c r="B20" s="4" t="s">
        <v>81</v>
      </c>
      <c r="C20" s="5">
        <v>41010098</v>
      </c>
      <c r="D20" s="6">
        <v>325541200</v>
      </c>
      <c r="E20" s="6">
        <v>62070267</v>
      </c>
    </row>
    <row r="21" spans="1:9">
      <c r="A21" s="4" t="s">
        <v>82</v>
      </c>
      <c r="B21" s="4" t="s">
        <v>83</v>
      </c>
      <c r="C21" s="5">
        <v>41010098</v>
      </c>
      <c r="D21" s="6">
        <v>325541200</v>
      </c>
      <c r="E21" s="6">
        <v>62070267</v>
      </c>
    </row>
    <row r="22" spans="1:9">
      <c r="A22" s="3" t="s">
        <v>84</v>
      </c>
      <c r="B22" s="4" t="s">
        <v>85</v>
      </c>
      <c r="C22" s="5">
        <v>41010098</v>
      </c>
      <c r="D22" s="6">
        <v>325541200</v>
      </c>
      <c r="E22" s="6">
        <v>62070267</v>
      </c>
    </row>
    <row r="23" spans="1:9">
      <c r="A23" s="7" t="s">
        <v>86</v>
      </c>
      <c r="B23" s="4" t="s">
        <v>87</v>
      </c>
      <c r="C23" s="5">
        <v>41010098</v>
      </c>
      <c r="D23" s="6">
        <v>325541200</v>
      </c>
      <c r="E23" s="6">
        <v>62070267</v>
      </c>
    </row>
    <row r="24" spans="1:9">
      <c r="A24" s="4" t="s">
        <v>88</v>
      </c>
      <c r="B24" s="4" t="s">
        <v>89</v>
      </c>
      <c r="C24" s="5">
        <v>41010098</v>
      </c>
      <c r="D24" s="6">
        <v>325541200</v>
      </c>
      <c r="E24" s="6">
        <v>62070267</v>
      </c>
    </row>
    <row r="25" spans="1:9">
      <c r="A25" s="4" t="s">
        <v>90</v>
      </c>
      <c r="B25" s="4" t="s">
        <v>91</v>
      </c>
      <c r="C25" s="5">
        <v>41010098</v>
      </c>
      <c r="D25" s="6">
        <v>325541200</v>
      </c>
      <c r="E25" s="6">
        <v>62070267</v>
      </c>
    </row>
    <row r="26" spans="1:9">
      <c r="A26" s="4" t="s">
        <v>92</v>
      </c>
      <c r="B26" s="4" t="s">
        <v>93</v>
      </c>
      <c r="C26" s="5">
        <v>41010098</v>
      </c>
      <c r="D26" s="6">
        <v>325541200</v>
      </c>
      <c r="E26" s="6">
        <v>62070267</v>
      </c>
    </row>
    <row r="27" spans="1:9">
      <c r="A27" s="3" t="s">
        <v>94</v>
      </c>
      <c r="B27" s="4" t="s">
        <v>95</v>
      </c>
      <c r="C27" s="5">
        <v>41010098</v>
      </c>
      <c r="D27" s="6">
        <v>325541200</v>
      </c>
      <c r="E27" s="6">
        <v>62070267</v>
      </c>
    </row>
    <row r="28" spans="1:9">
      <c r="A28" s="10" t="s">
        <v>96</v>
      </c>
      <c r="B28" s="4" t="s">
        <v>97</v>
      </c>
      <c r="C28" s="5">
        <v>41010098</v>
      </c>
      <c r="D28" s="6">
        <v>325541200</v>
      </c>
      <c r="E28" s="6">
        <v>62070267</v>
      </c>
    </row>
    <row r="29" spans="1:9">
      <c r="A29" s="11" t="s">
        <v>98</v>
      </c>
      <c r="B29" s="4" t="s">
        <v>99</v>
      </c>
      <c r="C29" s="5">
        <v>41010098</v>
      </c>
      <c r="D29" s="6">
        <v>325541200</v>
      </c>
      <c r="E29" s="6">
        <v>62070267</v>
      </c>
    </row>
    <row r="30" spans="1:9">
      <c r="A30" s="3" t="s">
        <v>100</v>
      </c>
      <c r="B30" s="4" t="s">
        <v>101</v>
      </c>
      <c r="C30" s="5">
        <v>41010098</v>
      </c>
      <c r="D30" s="6">
        <v>325541200</v>
      </c>
      <c r="E30" s="6">
        <v>62070267</v>
      </c>
    </row>
    <row r="31" spans="1:9">
      <c r="A31" s="10" t="s">
        <v>102</v>
      </c>
      <c r="B31" s="4" t="s">
        <v>103</v>
      </c>
      <c r="C31" s="5">
        <v>41010098</v>
      </c>
      <c r="D31" s="6">
        <v>325541200</v>
      </c>
      <c r="E31" s="6">
        <v>62070267</v>
      </c>
    </row>
    <row r="32" spans="1:9">
      <c r="A32" s="10" t="s">
        <v>104</v>
      </c>
      <c r="B32" s="4" t="s">
        <v>105</v>
      </c>
      <c r="C32" s="5">
        <v>41010098</v>
      </c>
      <c r="D32" s="6">
        <v>325541200</v>
      </c>
      <c r="E32" s="6">
        <v>62070267</v>
      </c>
    </row>
    <row r="33" spans="1:5">
      <c r="A33" s="3" t="s">
        <v>106</v>
      </c>
      <c r="B33" s="4" t="s">
        <v>107</v>
      </c>
      <c r="C33" s="5">
        <v>41010098</v>
      </c>
      <c r="D33" s="6">
        <v>325541200</v>
      </c>
      <c r="E33" s="6">
        <v>62070267</v>
      </c>
    </row>
    <row r="34" spans="1:5">
      <c r="A34" s="3" t="s">
        <v>108</v>
      </c>
      <c r="B34" s="4" t="s">
        <v>109</v>
      </c>
      <c r="C34" s="5">
        <v>41010098</v>
      </c>
      <c r="D34" s="6">
        <v>325541200</v>
      </c>
      <c r="E34" s="6">
        <v>62070267</v>
      </c>
    </row>
    <row r="35" spans="1:5">
      <c r="A35" s="3" t="s">
        <v>110</v>
      </c>
      <c r="B35" s="4" t="s">
        <v>111</v>
      </c>
      <c r="C35" s="5">
        <v>41010098</v>
      </c>
      <c r="D35" s="6">
        <v>325541200</v>
      </c>
      <c r="E35" s="6">
        <v>62070267</v>
      </c>
    </row>
    <row r="36" spans="1:5">
      <c r="A36" s="4" t="s">
        <v>112</v>
      </c>
      <c r="B36" s="4" t="str">
        <f>VLOOKUP(A36,[1]SOLICITUDES!$D$17:$O$42650,7,FALSE)</f>
        <v>EC0KD00VAECQ300</v>
      </c>
      <c r="C36" s="5">
        <v>41010098</v>
      </c>
      <c r="D36" s="6">
        <v>325541200</v>
      </c>
      <c r="E36" s="6">
        <v>62070267</v>
      </c>
    </row>
    <row r="37" spans="1:5">
      <c r="A37" s="4" t="s">
        <v>113</v>
      </c>
      <c r="B37" s="4" t="str">
        <f>VLOOKUP(A37,[1]SOLICITUDES!$D$17:$O$42650,7,FALSE)</f>
        <v>EC0ND00VB8CR203</v>
      </c>
      <c r="C37" s="5">
        <v>41010098</v>
      </c>
      <c r="D37" s="6">
        <v>325541200</v>
      </c>
      <c r="E37" s="6">
        <v>62070267</v>
      </c>
    </row>
    <row r="38" spans="1:5">
      <c r="A38" s="4" t="s">
        <v>114</v>
      </c>
      <c r="B38" s="4" t="str">
        <f>VLOOKUP(A38,[1]SOLICITUDES!$D$17:$O$42650,7,FALSE)</f>
        <v>EC0SM00VBBBR100</v>
      </c>
      <c r="C38" s="5">
        <v>41010098</v>
      </c>
      <c r="D38" s="6">
        <v>325541200</v>
      </c>
      <c r="E38" s="6">
        <v>62070267</v>
      </c>
    </row>
    <row r="39" spans="1:5">
      <c r="A39" s="4" t="s">
        <v>115</v>
      </c>
      <c r="B39" s="4" t="str">
        <f>VLOOKUP(A39,[2]SOLICITUDES!$D$17:$O$44129,7,FALSE)</f>
        <v>EC0DD00VB4EY401</v>
      </c>
      <c r="C39" s="5">
        <v>41010098</v>
      </c>
      <c r="D39" s="6">
        <v>325541200</v>
      </c>
      <c r="E39" s="6">
        <v>62070267</v>
      </c>
    </row>
    <row r="40" spans="1:5">
      <c r="A40" s="3" t="s">
        <v>116</v>
      </c>
      <c r="B40" s="4" t="str">
        <f>VLOOKUP(A40,[2]SOLICITUDES!$D$17:$O$44129,7,FALSE)</f>
        <v>EC0KM00VAEBQK00</v>
      </c>
      <c r="C40" s="5">
        <v>41010098</v>
      </c>
      <c r="D40" s="6">
        <v>325541200</v>
      </c>
      <c r="E40" s="6">
        <v>62070267</v>
      </c>
    </row>
    <row r="41" spans="1:5">
      <c r="A41" s="3" t="s">
        <v>117</v>
      </c>
      <c r="B41" s="4" t="str">
        <f>VLOOKUP(A41,[2]SOLICITUDES!$D$17:$O$44129,7,FALSE)</f>
        <v>EC0SD00VBBEY400</v>
      </c>
      <c r="C41" s="5">
        <v>41010098</v>
      </c>
      <c r="D41" s="6">
        <v>325541200</v>
      </c>
      <c r="E41" s="6">
        <v>62070267</v>
      </c>
    </row>
    <row r="42" spans="1:5">
      <c r="A42" s="3" t="s">
        <v>118</v>
      </c>
      <c r="B42" s="4" t="str">
        <f>VLOOKUP(A42,[2]SOLICITUDES!$D$17:$O$44129,7,FALSE)</f>
        <v>EC0DD00VB4EY405</v>
      </c>
      <c r="C42" s="5">
        <v>41010098</v>
      </c>
      <c r="D42" s="6">
        <v>325541200</v>
      </c>
      <c r="E42" s="6">
        <v>62070267</v>
      </c>
    </row>
    <row r="43" spans="1:5">
      <c r="A43" s="3" t="s">
        <v>119</v>
      </c>
      <c r="B43" s="4" t="str">
        <f>VLOOKUP(A43,[2]SOLICITUDES!$D$17:$O$44129,7,FALSE)</f>
        <v>EC0KM00VAEBQ000</v>
      </c>
      <c r="C43" s="5">
        <v>41010098</v>
      </c>
      <c r="D43" s="6">
        <v>325541200</v>
      </c>
      <c r="E43" s="6">
        <v>62070267</v>
      </c>
    </row>
    <row r="44" spans="1:5">
      <c r="A44" s="3" t="s">
        <v>120</v>
      </c>
      <c r="B44" s="4" t="s">
        <v>121</v>
      </c>
      <c r="C44" s="5">
        <v>41010098</v>
      </c>
      <c r="D44" s="6">
        <v>325541200</v>
      </c>
      <c r="E44" s="6">
        <v>62070267</v>
      </c>
    </row>
    <row r="45" spans="1:5">
      <c r="A45" s="3" t="s">
        <v>122</v>
      </c>
      <c r="B45" s="4" t="s">
        <v>123</v>
      </c>
      <c r="C45" s="5">
        <v>37010045</v>
      </c>
      <c r="D45" s="6">
        <v>325541200</v>
      </c>
      <c r="E45" s="6">
        <v>62070267</v>
      </c>
    </row>
    <row r="46" spans="1:5">
      <c r="A46" s="46" t="s">
        <v>124</v>
      </c>
      <c r="B46" t="s">
        <v>125</v>
      </c>
      <c r="C46" s="5">
        <v>41010098</v>
      </c>
      <c r="D46" s="6">
        <v>325541200</v>
      </c>
      <c r="E46" s="6">
        <v>62070267</v>
      </c>
    </row>
    <row r="47" spans="1:5">
      <c r="A47" t="s">
        <v>126</v>
      </c>
      <c r="B47" t="s">
        <v>127</v>
      </c>
      <c r="C47" s="47">
        <v>37010046</v>
      </c>
      <c r="D47" s="48">
        <v>325541200</v>
      </c>
      <c r="E47" s="48">
        <v>62070267</v>
      </c>
    </row>
    <row r="48" spans="1:5">
      <c r="A48" t="s">
        <v>128</v>
      </c>
      <c r="B48" t="s">
        <v>129</v>
      </c>
      <c r="C48" s="47">
        <v>37010046</v>
      </c>
      <c r="D48" s="48">
        <v>325541200</v>
      </c>
      <c r="E48" s="48">
        <v>62070267</v>
      </c>
    </row>
    <row r="49" spans="1:5">
      <c r="A49" t="s">
        <v>130</v>
      </c>
      <c r="B49" t="s">
        <v>131</v>
      </c>
      <c r="C49" s="47">
        <v>37010046</v>
      </c>
      <c r="D49" s="48">
        <v>325541200</v>
      </c>
      <c r="E49" s="48">
        <v>62070267</v>
      </c>
    </row>
    <row r="50" spans="1:5">
      <c r="A50" t="s">
        <v>132</v>
      </c>
      <c r="B50" t="s">
        <v>133</v>
      </c>
      <c r="C50" s="47">
        <v>37010046</v>
      </c>
      <c r="D50" s="48">
        <v>325541200</v>
      </c>
      <c r="E50" s="48">
        <v>62070267</v>
      </c>
    </row>
    <row r="51" spans="1:5">
      <c r="A51" t="s">
        <v>134</v>
      </c>
      <c r="B51" t="s">
        <v>135</v>
      </c>
      <c r="C51" s="47">
        <v>37010046</v>
      </c>
      <c r="D51" s="48">
        <v>325541200</v>
      </c>
      <c r="E51" s="48">
        <v>62070267</v>
      </c>
    </row>
    <row r="52" spans="1:5">
      <c r="A52" t="s">
        <v>136</v>
      </c>
      <c r="B52" t="s">
        <v>137</v>
      </c>
    </row>
    <row r="53" spans="1:5">
      <c r="A53" t="s">
        <v>138</v>
      </c>
      <c r="B53" t="s">
        <v>139</v>
      </c>
    </row>
    <row r="54" spans="1:5">
      <c r="A54" t="s">
        <v>140</v>
      </c>
      <c r="B54" t="s">
        <v>141</v>
      </c>
    </row>
    <row r="55" spans="1:5">
      <c r="A55" t="s">
        <v>142</v>
      </c>
      <c r="B55" t="s">
        <v>143</v>
      </c>
    </row>
    <row r="56" spans="1:5">
      <c r="A56" t="s">
        <v>134</v>
      </c>
      <c r="B56" t="s">
        <v>135</v>
      </c>
    </row>
    <row r="57" spans="1:5">
      <c r="A57" t="s">
        <v>144</v>
      </c>
      <c r="B57" t="s">
        <v>145</v>
      </c>
    </row>
  </sheetData>
  <conditionalFormatting sqref="A3:A38 A46:A55 A57:A99 B56">
    <cfRule type="duplicateValues" dxfId="6" priority="141"/>
  </conditionalFormatting>
  <conditionalFormatting sqref="A3:A43 A46:A55 A57:A360 B56">
    <cfRule type="duplicateValues" dxfId="5" priority="484"/>
  </conditionalFormatting>
  <conditionalFormatting sqref="A30:A38">
    <cfRule type="duplicateValues" dxfId="4" priority="215"/>
  </conditionalFormatting>
  <conditionalFormatting sqref="A39">
    <cfRule type="duplicateValues" dxfId="3" priority="466"/>
  </conditionalFormatting>
  <conditionalFormatting sqref="A39:A40">
    <cfRule type="duplicateValues" dxfId="2" priority="475"/>
  </conditionalFormatting>
  <conditionalFormatting sqref="A40">
    <cfRule type="duplicateValues" dxfId="1" priority="104"/>
  </conditionalFormatting>
  <conditionalFormatting sqref="A44:A4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SUGERIDO</vt:lpstr>
      <vt:lpstr>FONDOS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Ing Adelor Gutiérrez Sánchez.</cp:lastModifiedBy>
  <cp:lastPrinted>2017-10-27T18:38:18Z</cp:lastPrinted>
  <dcterms:created xsi:type="dcterms:W3CDTF">2016-10-11T14:07:07Z</dcterms:created>
  <dcterms:modified xsi:type="dcterms:W3CDTF">2025-10-03T14:37:25Z</dcterms:modified>
</cp:coreProperties>
</file>